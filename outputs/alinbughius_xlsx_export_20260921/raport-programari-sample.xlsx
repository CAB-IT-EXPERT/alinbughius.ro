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5000" activeTab="0"/>
  </bookViews>
  <sheets>
    <sheet name="Rezumat" sheetId="1" r:id="rId1"/>
    <sheet name="Analize" sheetId="2" r:id="rId2"/>
    <sheet name="Programari" sheetId="3" r:id="rId3"/>
  </sheet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 &quot;lei&quot;"/>
    <numFmt numFmtId="165" formatCode="dd.mm.yyyy"/>
    <numFmt numFmtId="166" formatCode="dd.mm.yyyy hh:mm"/>
    <numFmt numFmtId="167" formatCode="0.0%"/>
  </numFmts>
  <fonts count="7">
    <font>
      <sz val="10"/>
      <name val="Aptos"/>
      <family val="2"/>
      <color rgb="FF153D34"/>
    </font>
    <font>
      <b/>
      <sz val="10"/>
      <name val="Aptos"/>
      <family val="2"/>
      <color rgb="FFFFFFFF"/>
    </font>
    <font>
      <b/>
      <sz val="16"/>
      <name val="Aptos Display"/>
      <family val="2"/>
      <color rgb="FF153D34"/>
    </font>
    <font>
      <i/>
      <sz val="10"/>
      <name val="Aptos"/>
      <family val="2"/>
      <color rgb="FF71847B"/>
    </font>
    <font>
      <b/>
      <sz val="10"/>
      <name val="Aptos"/>
      <family val="2"/>
      <color rgb="FF153D34"/>
    </font>
    <font>
      <b/>
      <sz val="15"/>
      <name val="Aptos Display"/>
      <family val="2"/>
      <color rgb="FFFFFFFF"/>
    </font>
    <font>
      <b/>
      <sz val="12"/>
      <name val="Aptos"/>
      <family val="2"/>
      <color rgb="FF155446"/>
    </font>
  </fonts>
  <fills count="10">
    <fill>
      <patternFill patternType="none"/>
    </fill>
    <fill>
      <patternFill patternType="gray125"/>
    </fill>
    <fill>
      <patternFill patternType="solid">
        <fgColor rgb="FF155446"/>
        <bgColor indexed="64"/>
      </patternFill>
    </fill>
    <fill>
      <patternFill patternType="solid">
        <fgColor rgb="FF198667"/>
        <bgColor indexed="64"/>
      </patternFill>
    </fill>
    <fill>
      <patternFill patternType="solid">
        <fgColor rgb="FFE5F2EA"/>
        <bgColor indexed="64"/>
      </patternFill>
    </fill>
    <fill>
      <patternFill patternType="solid">
        <fgColor rgb="FFFFF4D8"/>
        <bgColor indexed="64"/>
      </patternFill>
    </fill>
    <fill>
      <patternFill patternType="solid">
        <fgColor rgb="FFFBE5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1"/>
        <bgColor indexed="64"/>
      </patternFill>
    </fill>
    <fill>
      <patternFill patternType="solid">
        <fgColor rgb="FFDDF3ED"/>
        <bgColor indexed="64"/>
      </patternFill>
    </fill>
  </fills>
  <borders count="3">
    <border/>
    <border>
      <left/>
      <right/>
      <top/>
      <bottom style="thin">
        <color rgb="FFDCE5DD"/>
      </bottom>
      <diagonal/>
    </border>
    <border>
      <left style="thin">
        <color rgb="FFBFD5C8"/>
      </left>
      <right style="thin">
        <color rgb="FFBFD5C8"/>
      </right>
      <top style="thin">
        <color rgb="FFBFD5C8"/>
      </top>
      <bottom style="thin">
        <color rgb="FFBFD5C8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0" xfId="0" applyFill="1" applyFont="1" applyAlignment="1">
      <alignment vertical="center"/>
    </xf>
    <xf numFmtId="0" fontId="1" fillId="2" borderId="1" xfId="0" applyFill="1" applyFont="1" applyBorder="1" applyAlignment="1">
      <alignment horizontal="center" vertical="center" wrapText="1"/>
    </xf>
    <xf numFmtId="0" fontId="0" fillId="7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5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164" fontId="4" fillId="7" borderId="1" xfId="0" applyNumberFormat="1" applyFill="1" applyFont="1" applyBorder="1" applyAlignment="1">
      <alignment horizontal="right" vertical="center"/>
    </xf>
    <xf numFmtId="164" fontId="4" fillId="4" borderId="1" xfId="0" applyNumberFormat="1" applyFill="1" applyFont="1" applyBorder="1" applyAlignment="1">
      <alignment horizontal="right" vertical="center"/>
    </xf>
    <xf numFmtId="0" fontId="4" fillId="5" borderId="1" xfId="0" applyFill="1" applyFont="1" applyBorder="1" applyAlignment="1">
      <alignment horizontal="center" vertical="center"/>
    </xf>
    <xf numFmtId="0" fontId="4" fillId="4" borderId="1" xfId="0" applyFill="1" applyFont="1" applyBorder="1" applyAlignment="1">
      <alignment horizontal="center" vertical="center"/>
    </xf>
    <xf numFmtId="0" fontId="4" fillId="8" borderId="1" xfId="0" applyFill="1" applyFont="1" applyBorder="1" applyAlignment="1">
      <alignment horizontal="center" vertical="center"/>
    </xf>
    <xf numFmtId="0" fontId="4" fillId="6" borderId="1" xfId="0" applyFill="1" applyFont="1" applyBorder="1" applyAlignment="1">
      <alignment horizontal="center" vertical="center"/>
    </xf>
    <xf numFmtId="0" fontId="4" fillId="5" borderId="1" xfId="0" applyFill="1" applyFont="1" applyBorder="1" applyAlignment="1">
      <alignment horizontal="center" vertical="center"/>
    </xf>
    <xf numFmtId="0" fontId="4" fillId="9" borderId="1" xfId="0" applyFill="1" applyFont="1" applyBorder="1" applyAlignment="1">
      <alignment horizontal="center" vertical="center"/>
    </xf>
    <xf numFmtId="0" fontId="1" fillId="2" borderId="2" xfId="0" applyFill="1" applyFont="1" applyBorder="1" applyAlignment="1">
      <alignment horizontal="center" vertical="center" wrapText="1"/>
    </xf>
    <xf numFmtId="0" fontId="5" fillId="2" borderId="2" xfId="0" applyFill="1" applyFont="1" applyBorder="1" applyAlignment="1">
      <alignment horizontal="center" vertical="center" wrapText="1"/>
    </xf>
    <xf numFmtId="164" fontId="5" fillId="3" borderId="2" xfId="0" applyNumberFormat="1" applyFill="1" applyFont="1" applyBorder="1" applyAlignment="1">
      <alignment horizontal="center" vertical="center"/>
    </xf>
    <xf numFmtId="164" fontId="6" fillId="5" borderId="2" xfId="0" applyNumberFormat="1" applyFill="1" applyFont="1" applyBorder="1" applyAlignment="1">
      <alignment horizontal="center" vertical="center"/>
    </xf>
    <xf numFmtId="0" fontId="6" fillId="9" borderId="2" xfId="0" applyFill="1" applyFont="1" applyBorder="1" applyAlignment="1">
      <alignment horizontal="center" vertical="center" wrapText="1"/>
    </xf>
    <xf numFmtId="167" fontId="4" fillId="7" borderId="1" xfId="0" applyNumberFormat="1" applyFill="1" applyFont="1" applyBorder="1" applyAlignment="1">
      <alignment horizontal="right" vertical="center"/>
    </xf>
    <xf numFmtId="0" fontId="4" fillId="8" borderId="2" xfId="0" applyFill="1" applyFont="1" applyBorder="1" applyAlignment="1">
      <alignment vertical="center" wrapText="1"/>
    </xf>
    <xf numFmtId="164" fontId="4" fillId="8" borderId="2" xfId="0" applyNumberFormat="1" applyFill="1" applyFont="1" applyBorder="1" applyAlignment="1">
      <alignment horizontal="right" vertical="center"/>
    </xf>
    <xf numFmtId="0" fontId="0" fillId="7" borderId="1" xfId="0" applyFill="1" applyBorder="1" applyAlignment="1">
      <alignment vertical="top" wrapText="1"/>
    </xf>
    <xf numFmtId="0" fontId="4" fillId="7" borderId="1" xfId="0" applyFill="1" applyFont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80000</xdr:colOff>
      <xdr:row>0</xdr:row>
      <xdr:rowOff>35000</xdr:rowOff>
    </xdr:from>
    <xdr:to>
      <xdr:col>2</xdr:col>
      <xdr:colOff>250000</xdr:colOff>
      <xdr:row>3</xdr:row>
      <xdr:rowOff>0</xdr:rowOff>
    </xdr:to>
    <xdr:pic>
      <xdr:nvPicPr>
        <xdr:cNvPr id="1" name="Logo Alin Bughius" descr="Sigla Alin Bughius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" cy="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55446"/>
  </sheetPr>
  <sheetViews>
    <sheetView showGridLines="0" workbookViewId="0"/>
  </sheetViews>
  <sheetFormatPr defaultRowHeight="21"/>
  <cols>
    <col min="1" max="1" width="17" customWidth="1"/>
    <col min="2" max="2" width="11" customWidth="1"/>
    <col min="3" max="3" width="11" customWidth="1"/>
    <col min="4" max="4" width="17" customWidth="1"/>
    <col min="5" max="5" width="11" customWidth="1"/>
    <col min="6" max="6" width="11" customWidth="1"/>
    <col min="7" max="7" width="17" customWidth="1"/>
    <col min="8" max="8" width="11" customWidth="1"/>
    <col min="9" max="9" width="11" customWidth="1"/>
    <col min="10" max="10" width="24" customWidth="1"/>
    <col min="11" max="11" width="15" customWidth="1"/>
    <col min="12" max="12" width="15" customWidth="1"/>
  </cols>
  <sheetData>
    <row r="1" ht="12" customHeight="1"/>
    <row r="2" ht="27" customHeight="1">
      <c r="D2" s="1" t="inlineStr">
        <is>
          <t xml:space="preserve">Raport programări</t>
        </is>
      </c>
    </row>
    <row r="3" ht="21" customHeight="1">
      <c r="D3" s="2" t="inlineStr">
        <is>
          <t xml:space="preserve">Alin Bughius · generat la 21.09.2026 16:18 · perioadă: Septembrie 2026 · raport demonstrativ</t>
        </is>
      </c>
    </row>
    <row r="4" ht="8" customHeight="1"/>
    <row r="5" ht="5" customHeight="1"/>
    <row r="6" ht="22" customHeight="1">
      <c r="A6" s="19" t="inlineStr">
        <is>
          <t xml:space="preserve">PROGRAMĂRI</t>
        </is>
      </c>
      <c r="B6" s="19" t="inlineStr">
        <is>
          <t/>
        </is>
      </c>
      <c r="C6" s="19" t="inlineStr">
        <is>
          <t/>
        </is>
      </c>
      <c r="D6" s="19" t="inlineStr">
        <is>
          <t xml:space="preserve">ÎNCASAT</t>
        </is>
      </c>
      <c r="E6" s="19" t="inlineStr">
        <is>
          <t/>
        </is>
      </c>
      <c r="F6" s="19" t="inlineStr">
        <is>
          <t/>
        </is>
      </c>
      <c r="G6" s="19" t="inlineStr">
        <is>
          <t xml:space="preserve">DE ÎNCASAT</t>
        </is>
      </c>
      <c r="H6" s="19" t="inlineStr">
        <is>
          <t/>
        </is>
      </c>
      <c r="I6" s="19" t="inlineStr">
        <is>
          <t/>
        </is>
      </c>
      <c r="J6" s="19" t="inlineStr">
        <is>
          <t xml:space="preserve">URMEAZĂ</t>
        </is>
      </c>
      <c r="K6" s="19" t="inlineStr">
        <is>
          <t/>
        </is>
      </c>
      <c r="L6" s="19" t="inlineStr">
        <is>
          <t/>
        </is>
      </c>
    </row>
    <row r="7" ht="34" customHeight="1">
      <c r="A7" s="20">
        <f>COUNTA(Programari!$A$5:$A$7)</f>
        <v>3</v>
      </c>
      <c r="B7" s="20" t="inlineStr">
        <is>
          <t/>
        </is>
      </c>
      <c r="C7" s="20" t="inlineStr">
        <is>
          <t/>
        </is>
      </c>
      <c r="D7" s="21">
        <f>SUMIFS(Programari!$N$5:$N$7,Programari!$O$5:$O$7,"Încasat",Programari!$M$5:$M$7,"&lt;&gt;Anulată")</f>
        <v>200</v>
      </c>
      <c r="E7" s="21" t="inlineStr">
        <is>
          <t/>
        </is>
      </c>
      <c r="F7" s="21" t="inlineStr">
        <is>
          <t/>
        </is>
      </c>
      <c r="G7" s="22">
        <f>SUMIFS(Programari!$N$5:$N$7,Programari!$O$5:$O$7,"Neîncasat",Programari!$M$5:$M$7,"&lt;&gt;Anulată")</f>
        <v>450</v>
      </c>
      <c r="H7" s="22" t="inlineStr">
        <is>
          <t/>
        </is>
      </c>
      <c r="I7" s="22" t="inlineStr">
        <is>
          <t/>
        </is>
      </c>
      <c r="J7" s="23">
        <f>COUNTIFS(Programari!$D$5:$D$7,"&gt;="&amp;TODAY(),Programari!$M$5:$M$7,"În așteptare")+COUNTIFS(Programari!$D$5:$D$7,"&gt;="&amp;TODAY(),Programari!$M$5:$M$7,"Confirmată")</f>
        <v>1</v>
      </c>
      <c r="K7" s="23" t="inlineStr">
        <is>
          <t/>
        </is>
      </c>
      <c r="L7" s="23" t="inlineStr">
        <is>
          <t/>
        </is>
      </c>
    </row>
    <row r="8" ht="13" customHeight="1"/>
    <row r="9" ht="24" customHeight="1">
      <c r="A9" s="3" t="inlineStr">
        <is>
          <t xml:space="preserve">Starea programărilor</t>
        </is>
      </c>
      <c r="E9" s="3" t="inlineStr">
        <is>
          <t xml:space="preserve">Sursa programărilor</t>
        </is>
      </c>
      <c r="I9" s="3" t="inlineStr">
        <is>
          <t xml:space="preserve">Servicii după valoare</t>
        </is>
      </c>
    </row>
    <row r="10" ht="28" customHeight="1">
      <c r="A10" s="4" t="inlineStr">
        <is>
          <t xml:space="preserve">Stare</t>
        </is>
      </c>
      <c r="B10" s="4" t="inlineStr">
        <is>
          <t xml:space="preserve">Număr</t>
        </is>
      </c>
      <c r="C10" s="4" t="inlineStr">
        <is>
          <t xml:space="preserve">Pondere</t>
        </is>
      </c>
      <c r="E10" s="4" t="inlineStr">
        <is>
          <t xml:space="preserve">Sursă</t>
        </is>
      </c>
      <c r="F10" s="4" t="inlineStr">
        <is>
          <t xml:space="preserve">Număr</t>
        </is>
      </c>
      <c r="G10" s="4" t="inlineStr">
        <is>
          <t xml:space="preserve">Pondere</t>
        </is>
      </c>
      <c r="I10" s="4" t="inlineStr">
        <is>
          <t xml:space="preserve">Serviciu</t>
        </is>
      </c>
      <c r="J10" s="4" t="inlineStr">
        <is>
          <t xml:space="preserve">Programări</t>
        </is>
      </c>
      <c r="K10" s="4" t="inlineStr">
        <is>
          <t xml:space="preserve">Valoare</t>
        </is>
      </c>
      <c r="L10" s="4" t="inlineStr">
        <is>
          <t xml:space="preserve">Încasat</t>
        </is>
      </c>
    </row>
    <row r="11" ht="24" customHeight="1">
      <c r="A11" s="13" t="inlineStr">
        <is>
          <t xml:space="preserve">În așteptare</t>
        </is>
      </c>
      <c r="B11" s="27">
        <v>1</v>
      </c>
      <c r="C11" s="24">
        <v>0.33333333333333</v>
      </c>
      <c r="E11" s="17" t="inlineStr">
        <is>
          <t xml:space="preserve">Manual</t>
        </is>
      </c>
      <c r="F11" s="27">
        <v>1</v>
      </c>
      <c r="G11" s="24">
        <v>0.33333333333333</v>
      </c>
      <c r="I11" s="5" t="inlineStr">
        <is>
          <t xml:space="preserve">Deep Tissue</t>
        </is>
      </c>
      <c r="J11" s="27">
        <v>1</v>
      </c>
      <c r="K11" s="11">
        <v>250</v>
      </c>
      <c r="L11" s="11">
        <v>0</v>
      </c>
    </row>
    <row r="12" ht="24" customHeight="1">
      <c r="A12" s="14" t="inlineStr">
        <is>
          <t xml:space="preserve">Confirmată</t>
        </is>
      </c>
      <c r="B12" s="27">
        <v>1</v>
      </c>
      <c r="C12" s="24">
        <v>0.33333333333333</v>
      </c>
      <c r="E12" s="18" t="inlineStr">
        <is>
          <t xml:space="preserve">Din site</t>
        </is>
      </c>
      <c r="F12" s="27">
        <v>2</v>
      </c>
      <c r="G12" s="24">
        <v>0.66666666666667</v>
      </c>
      <c r="I12" s="5" t="inlineStr">
        <is>
          <t xml:space="preserve">Masaj de relaxare</t>
        </is>
      </c>
      <c r="J12" s="27">
        <v>1</v>
      </c>
      <c r="K12" s="11">
        <v>200</v>
      </c>
      <c r="L12" s="11">
        <v>0</v>
      </c>
    </row>
    <row r="13" ht="24" customHeight="1">
      <c r="A13" s="15" t="inlineStr">
        <is>
          <t xml:space="preserve">Finalizată</t>
        </is>
      </c>
      <c r="B13" s="27">
        <v>1</v>
      </c>
      <c r="C13" s="24">
        <v>0.33333333333333</v>
      </c>
      <c r="I13" s="5" t="inlineStr">
        <is>
          <t xml:space="preserve">Masaj terapeutic</t>
        </is>
      </c>
      <c r="J13" s="27">
        <v>1</v>
      </c>
      <c r="K13" s="11">
        <v>200</v>
      </c>
      <c r="L13" s="11">
        <v>200</v>
      </c>
    </row>
    <row r="14" ht="24" customHeight="1">
      <c r="A14" s="16" t="inlineStr">
        <is>
          <t xml:space="preserve">Anulată</t>
        </is>
      </c>
      <c r="B14" s="27">
        <v>0</v>
      </c>
      <c r="C14" s="24">
        <v>0</v>
      </c>
    </row>
    <row r="15" ht="11" customHeight="1"/>
    <row r="16" ht="24" customHeight="1">
      <c r="A16" s="3" t="inlineStr">
        <is>
          <t xml:space="preserve">Observații automate</t>
        </is>
      </c>
    </row>
    <row r="17" ht="24" customHeight="1">
      <c r="A17" s="25" t="inlineStr">
        <is>
          <t xml:space="preserve">1. 1 din 3 programări sunt în așteptarea confirmării.</t>
        </is>
      </c>
    </row>
    <row r="18" ht="24" customHeight="1">
      <c r="A18" s="25" t="inlineStr">
        <is>
          <t xml:space="preserve">2. Deep Tissue are cea mai mare valoare programată: 250 lei.</t>
        </is>
      </c>
    </row>
    <row r="19" ht="24" customHeight="1">
      <c r="A19" s="25" t="inlineStr">
        <is>
          <t xml:space="preserve">3. Programările manuale reprezintă 33,3% din total.</t>
        </is>
      </c>
    </row>
    <row r="20" ht="24" customHeight="1">
      <c r="A20" s="25" t="inlineStr">
        <is>
          <t xml:space="preserve">4. Gradul de încasare pentru programările active este 30,8%.</t>
        </is>
      </c>
    </row>
  </sheetData>
  <mergeCells count="18">
    <mergeCell ref="D2:L2"/>
    <mergeCell ref="D3:L3"/>
    <mergeCell ref="A6:C6"/>
    <mergeCell ref="D6:F6"/>
    <mergeCell ref="G6:I6"/>
    <mergeCell ref="J6:L6"/>
    <mergeCell ref="A7:C7"/>
    <mergeCell ref="D7:F7"/>
    <mergeCell ref="G7:I7"/>
    <mergeCell ref="J7:L7"/>
    <mergeCell ref="A9:C9"/>
    <mergeCell ref="E9:G9"/>
    <mergeCell ref="I9:L9"/>
    <mergeCell ref="A16:L16"/>
    <mergeCell ref="A17:L17"/>
    <mergeCell ref="A18:L18"/>
    <mergeCell ref="A19:L19"/>
    <mergeCell ref="A20:L20"/>
  </mergeCells>
  <drawing r:id="rId1"/>
  <pageMargins left="0.35" right="0.35" top="0.55" bottom="0.55" header="0.2" footer="0.2"/>
  <pageSetup orientation="landscape" fitToWidth="1" fitToHeight="0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98667"/>
  </sheetPr>
  <sheetViews>
    <sheetView showGridLines="0" workbookViewId="0">
      <pane xSplit="1" ySplit="4" topLeftCell="B5" activePane="bottomRight" state="frozen"/>
    </sheetView>
  </sheetViews>
  <sheetFormatPr defaultRowHeight="21"/>
  <cols>
    <col min="1" max="1" width="26" customWidth="1"/>
    <col min="2" max="2" width="11" customWidth="1"/>
    <col min="3" max="3" width="11" customWidth="1"/>
    <col min="4" max="4" width="11" customWidth="1"/>
    <col min="5" max="5" width="11" customWidth="1"/>
    <col min="6" max="6" width="12" customWidth="1"/>
    <col min="7" max="7" width="11" customWidth="1"/>
    <col min="8" max="8" width="15" customWidth="1"/>
    <col min="9" max="9" width="15" customWidth="1"/>
    <col min="10" max="10" width="15" customWidth="1"/>
  </cols>
  <sheetData>
    <row r="1" ht="12" customHeight="1"/>
    <row r="2" ht="27" customHeight="1">
      <c r="A2" s="1" t="inlineStr">
        <is>
          <t xml:space="preserve">Analiza programărilor</t>
        </is>
      </c>
    </row>
    <row r="3" ht="21" customHeight="1">
      <c r="A3" s="2" t="inlineStr">
        <is>
          <t xml:space="preserve">Centralizare automată pe servicii și luni. Programările anulate nu intră în valorile financiare.</t>
        </is>
      </c>
    </row>
    <row r="4" ht="30" customHeight="1">
      <c r="A4" s="4" t="inlineStr">
        <is>
          <t xml:space="preserve">Serviciu</t>
        </is>
      </c>
      <c r="B4" s="4" t="inlineStr">
        <is>
          <t xml:space="preserve">Total</t>
        </is>
      </c>
      <c r="C4" s="4" t="inlineStr">
        <is>
          <t xml:space="preserve">Manual</t>
        </is>
      </c>
      <c r="D4" s="4" t="inlineStr">
        <is>
          <t xml:space="preserve">Din site</t>
        </is>
      </c>
      <c r="E4" s="4" t="inlineStr">
        <is>
          <t xml:space="preserve">Active</t>
        </is>
      </c>
      <c r="F4" s="4" t="inlineStr">
        <is>
          <t xml:space="preserve">Finalizate</t>
        </is>
      </c>
      <c r="G4" s="4" t="inlineStr">
        <is>
          <t xml:space="preserve">Anulate</t>
        </is>
      </c>
      <c r="H4" s="4" t="inlineStr">
        <is>
          <t xml:space="preserve">Valoare</t>
        </is>
      </c>
      <c r="I4" s="4" t="inlineStr">
        <is>
          <t xml:space="preserve">Încasat</t>
        </is>
      </c>
      <c r="J4" s="4" t="inlineStr">
        <is>
          <t xml:space="preserve">De încasat</t>
        </is>
      </c>
    </row>
    <row r="5" ht="24" customHeight="1">
      <c r="A5" s="5" t="inlineStr">
        <is>
          <t xml:space="preserve">Deep Tissue</t>
        </is>
      </c>
      <c r="B5" s="27">
        <f>COUNTIF(Programari!$J$5:$J$7,$A5)</f>
        <v>1</v>
      </c>
      <c r="C5" s="27">
        <f>COUNTIFS(Programari!$J$5:$J$7,$A5,Programari!$B$5:$B$7,"Manual")</f>
        <v>0</v>
      </c>
      <c r="D5" s="27">
        <f>COUNTIFS(Programari!$J$5:$J$7,$A5,Programari!$B$5:$B$7,"Din site")</f>
        <v>1</v>
      </c>
      <c r="E5" s="27">
        <f>COUNTIFS(Programari!$J$5:$J$7,$A5,Programari!$M$5:$M$7,"În așteptare")+COUNTIFS(Programari!$J$5:$J$7,$A5,Programari!$M$5:$M$7,"Confirmată")</f>
        <v>1</v>
      </c>
      <c r="F5" s="27">
        <f>COUNTIFS(Programari!$J$5:$J$7,$A5,Programari!$M$5:$M$7,"Finalizată")</f>
        <v>0</v>
      </c>
      <c r="G5" s="27">
        <f>COUNTIFS(Programari!$J$5:$J$7,$A5,Programari!$M$5:$M$7,"Anulată")</f>
        <v>0</v>
      </c>
      <c r="H5" s="11">
        <f>SUMIFS(Programari!$N$5:$N$7,Programari!$J$5:$J$7,$A5,Programari!$M$5:$M$7,"&lt;&gt;Anulată")</f>
        <v>250</v>
      </c>
      <c r="I5" s="11">
        <f>SUMIFS(Programari!$N$5:$N$7,Programari!$J$5:$J$7,$A5,Programari!$O$5:$O$7,"Încasat",Programari!$M$5:$M$7,"&lt;&gt;Anulată")</f>
        <v>0</v>
      </c>
      <c r="J5" s="11">
        <f>SUMIFS(Programari!$N$5:$N$7,Programari!$J$5:$J$7,$A5,Programari!$O$5:$O$7,"Neîncasat",Programari!$M$5:$M$7,"&lt;&gt;Anulată")</f>
        <v>250</v>
      </c>
    </row>
    <row r="6" ht="24" customHeight="1">
      <c r="A6" s="6" t="inlineStr">
        <is>
          <t xml:space="preserve">Masaj de relaxare</t>
        </is>
      </c>
      <c r="B6" s="27">
        <f>COUNTIF(Programari!$J$5:$J$7,$A6)</f>
        <v>1</v>
      </c>
      <c r="C6" s="27">
        <f>COUNTIFS(Programari!$J$5:$J$7,$A6,Programari!$B$5:$B$7,"Manual")</f>
        <v>1</v>
      </c>
      <c r="D6" s="27">
        <f>COUNTIFS(Programari!$J$5:$J$7,$A6,Programari!$B$5:$B$7,"Din site")</f>
        <v>0</v>
      </c>
      <c r="E6" s="27">
        <f>COUNTIFS(Programari!$J$5:$J$7,$A6,Programari!$M$5:$M$7,"În așteptare")+COUNTIFS(Programari!$J$5:$J$7,$A6,Programari!$M$5:$M$7,"Confirmată")</f>
        <v>1</v>
      </c>
      <c r="F6" s="27">
        <f>COUNTIFS(Programari!$J$5:$J$7,$A6,Programari!$M$5:$M$7,"Finalizată")</f>
        <v>0</v>
      </c>
      <c r="G6" s="27">
        <f>COUNTIFS(Programari!$J$5:$J$7,$A6,Programari!$M$5:$M$7,"Anulată")</f>
        <v>0</v>
      </c>
      <c r="H6" s="12">
        <f>SUMIFS(Programari!$N$5:$N$7,Programari!$J$5:$J$7,$A6,Programari!$M$5:$M$7,"&lt;&gt;Anulată")</f>
        <v>200</v>
      </c>
      <c r="I6" s="12">
        <f>SUMIFS(Programari!$N$5:$N$7,Programari!$J$5:$J$7,$A6,Programari!$O$5:$O$7,"Încasat",Programari!$M$5:$M$7,"&lt;&gt;Anulată")</f>
        <v>0</v>
      </c>
      <c r="J6" s="12">
        <f>SUMIFS(Programari!$N$5:$N$7,Programari!$J$5:$J$7,$A6,Programari!$O$5:$O$7,"Neîncasat",Programari!$M$5:$M$7,"&lt;&gt;Anulată")</f>
        <v>200</v>
      </c>
    </row>
    <row r="7" ht="24" customHeight="1">
      <c r="A7" s="5" t="inlineStr">
        <is>
          <t xml:space="preserve">Masaj terapeutic</t>
        </is>
      </c>
      <c r="B7" s="27">
        <f>COUNTIF(Programari!$J$5:$J$7,$A7)</f>
        <v>1</v>
      </c>
      <c r="C7" s="27">
        <f>COUNTIFS(Programari!$J$5:$J$7,$A7,Programari!$B$5:$B$7,"Manual")</f>
        <v>0</v>
      </c>
      <c r="D7" s="27">
        <f>COUNTIFS(Programari!$J$5:$J$7,$A7,Programari!$B$5:$B$7,"Din site")</f>
        <v>1</v>
      </c>
      <c r="E7" s="27">
        <f>COUNTIFS(Programari!$J$5:$J$7,$A7,Programari!$M$5:$M$7,"În așteptare")+COUNTIFS(Programari!$J$5:$J$7,$A7,Programari!$M$5:$M$7,"Confirmată")</f>
        <v>0</v>
      </c>
      <c r="F7" s="27">
        <f>COUNTIFS(Programari!$J$5:$J$7,$A7,Programari!$M$5:$M$7,"Finalizată")</f>
        <v>1</v>
      </c>
      <c r="G7" s="27">
        <f>COUNTIFS(Programari!$J$5:$J$7,$A7,Programari!$M$5:$M$7,"Anulată")</f>
        <v>0</v>
      </c>
      <c r="H7" s="11">
        <f>SUMIFS(Programari!$N$5:$N$7,Programari!$J$5:$J$7,$A7,Programari!$M$5:$M$7,"&lt;&gt;Anulată")</f>
        <v>200</v>
      </c>
      <c r="I7" s="11">
        <f>SUMIFS(Programari!$N$5:$N$7,Programari!$J$5:$J$7,$A7,Programari!$O$5:$O$7,"Încasat",Programari!$M$5:$M$7,"&lt;&gt;Anulată")</f>
        <v>200</v>
      </c>
      <c r="J7" s="11">
        <f>SUMIFS(Programari!$N$5:$N$7,Programari!$J$5:$J$7,$A7,Programari!$O$5:$O$7,"Neîncasat",Programari!$M$5:$M$7,"&lt;&gt;Anulată")</f>
        <v>0</v>
      </c>
    </row>
    <row r="10" ht="24" customHeight="1">
      <c r="A10" s="3" t="inlineStr">
        <is>
          <t xml:space="preserve">Evoluție lunară</t>
        </is>
      </c>
    </row>
    <row r="11" ht="30" customHeight="1">
      <c r="A11" s="4" t="inlineStr">
        <is>
          <t xml:space="preserve">Lună</t>
        </is>
      </c>
      <c r="B11" s="4" t="inlineStr">
        <is>
          <t xml:space="preserve">Total</t>
        </is>
      </c>
      <c r="C11" s="4" t="inlineStr">
        <is>
          <t xml:space="preserve">Manual</t>
        </is>
      </c>
      <c r="D11" s="4" t="inlineStr">
        <is>
          <t xml:space="preserve">Din site</t>
        </is>
      </c>
      <c r="E11" s="4" t="inlineStr">
        <is>
          <t xml:space="preserve">Valoare</t>
        </is>
      </c>
      <c r="F11" s="4" t="inlineStr">
        <is>
          <t xml:space="preserve">Încasat</t>
        </is>
      </c>
      <c r="G11" s="4" t="inlineStr">
        <is>
          <t xml:space="preserve">De încasat</t>
        </is>
      </c>
    </row>
    <row r="12" ht="24" customHeight="1">
      <c r="A12" s="6" t="inlineStr">
        <is>
          <t xml:space="preserve">09.2026</t>
        </is>
      </c>
      <c r="B12" s="27">
        <v>3</v>
      </c>
      <c r="C12" s="27">
        <v>1</v>
      </c>
      <c r="D12" s="27">
        <v>2</v>
      </c>
      <c r="E12" s="12">
        <v>650</v>
      </c>
      <c r="F12" s="12">
        <v>200</v>
      </c>
      <c r="G12" s="12">
        <v>450</v>
      </c>
    </row>
  </sheetData>
  <mergeCells count="3">
    <mergeCell ref="A2:J2"/>
    <mergeCell ref="A3:J3"/>
    <mergeCell ref="A10:J10"/>
  </mergeCells>
  <pageMargins left="0.35" right="0.35" top="0.55" bottom="0.55" header="0.2" footer="0.2"/>
  <pageSetup orientation="landscape" fitToWidth="1" fitToHeight="0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1847B"/>
  </sheetPr>
  <sheetViews>
    <sheetView showGridLines="0" workbookViewId="0">
      <pane xSplit="2" ySplit="4" topLeftCell="C5" activePane="bottomRight" state="frozen"/>
    </sheetView>
  </sheetViews>
  <sheetFormatPr defaultRowHeight="21"/>
  <cols>
    <col min="1" max="1" width="14" customWidth="1"/>
    <col min="2" max="2" width="13" customWidth="1"/>
    <col min="3" max="3" width="19" customWidth="1"/>
    <col min="4" max="4" width="13" customWidth="1"/>
    <col min="5" max="5" width="10" customWidth="1"/>
    <col min="6" max="6" width="24" customWidth="1"/>
    <col min="7" max="7" width="16" customWidth="1"/>
    <col min="8" max="8" width="28" customWidth="1"/>
    <col min="9" max="9" width="25" customWidth="1"/>
    <col min="10" max="10" width="23" customWidth="1"/>
    <col min="11" max="11" width="14" customWidth="1"/>
    <col min="12" max="12" width="13" customWidth="1"/>
    <col min="13" max="13" width="17" customWidth="1"/>
    <col min="14" max="14" width="15" customWidth="1"/>
    <col min="15" max="15" width="16" customWidth="1"/>
    <col min="16" max="16" width="38" customWidth="1"/>
    <col min="17" max="17" width="19" customWidth="1"/>
    <col min="18" max="18" width="35" customWidth="1"/>
  </cols>
  <sheetData>
    <row r="1" ht="12" customHeight="1"/>
    <row r="2" ht="27" customHeight="1">
      <c r="A2" s="1" t="inlineStr">
        <is>
          <t xml:space="preserve">Toate programările</t>
        </is>
      </c>
    </row>
    <row r="3" ht="21" customHeight="1">
      <c r="A3" s="2" t="inlineStr">
        <is>
          <t xml:space="preserve">Export complet din CRM · 21.09.2026 16:18</t>
        </is>
      </c>
    </row>
    <row r="4" ht="34" customHeight="1">
      <c r="A4" s="4" t="inlineStr">
        <is>
          <t xml:space="preserve">Referință</t>
        </is>
      </c>
      <c r="B4" s="4" t="inlineStr">
        <is>
          <t xml:space="preserve">Sursă</t>
        </is>
      </c>
      <c r="C4" s="4" t="inlineStr">
        <is>
          <t xml:space="preserve">Creată la</t>
        </is>
      </c>
      <c r="D4" s="4" t="inlineStr">
        <is>
          <t xml:space="preserve">Data</t>
        </is>
      </c>
      <c r="E4" s="4" t="inlineStr">
        <is>
          <t xml:space="preserve">Ora</t>
        </is>
      </c>
      <c r="F4" s="4" t="inlineStr">
        <is>
          <t xml:space="preserve">Client</t>
        </is>
      </c>
      <c r="G4" s="4" t="inlineStr">
        <is>
          <t xml:space="preserve">Telefon</t>
        </is>
      </c>
      <c r="H4" s="4" t="inlineStr">
        <is>
          <t xml:space="preserve">E-mail</t>
        </is>
      </c>
      <c r="I4" s="4" t="inlineStr">
        <is>
          <t xml:space="preserve">Zonă / adresă</t>
        </is>
      </c>
      <c r="J4" s="4" t="inlineStr">
        <is>
          <t xml:space="preserve">Serviciu</t>
        </is>
      </c>
      <c r="K4" s="4" t="inlineStr">
        <is>
          <t xml:space="preserve">Durată (min)</t>
        </is>
      </c>
      <c r="L4" s="4" t="inlineStr">
        <is>
          <t xml:space="preserve">Pauză (min)</t>
        </is>
      </c>
      <c r="M4" s="4" t="inlineStr">
        <is>
          <t xml:space="preserve">Stare</t>
        </is>
      </c>
      <c r="N4" s="4" t="inlineStr">
        <is>
          <t xml:space="preserve">Cost (lei)</t>
        </is>
      </c>
      <c r="O4" s="4" t="inlineStr">
        <is>
          <t xml:space="preserve">Încasare</t>
        </is>
      </c>
      <c r="P4" s="4" t="inlineStr">
        <is>
          <t xml:space="preserve">Notițe interne</t>
        </is>
      </c>
      <c r="Q4" s="4" t="inlineStr">
        <is>
          <t xml:space="preserve">Actualizată la</t>
        </is>
      </c>
      <c r="R4" s="4" t="inlineStr">
        <is>
          <t xml:space="preserve">ID intern</t>
        </is>
      </c>
    </row>
    <row r="5" ht="31" customHeight="1">
      <c r="A5" s="5" t="inlineStr">
        <is>
          <t xml:space="preserve">#33333333</t>
        </is>
      </c>
      <c r="B5" s="18" t="inlineStr">
        <is>
          <t xml:space="preserve">Din site</t>
        </is>
      </c>
      <c r="C5" s="9">
        <v>46280.388888889</v>
      </c>
      <c r="D5" s="7">
        <v>46286.875</v>
      </c>
      <c r="E5" s="5" t="inlineStr">
        <is>
          <t xml:space="preserve">14:00</t>
        </is>
      </c>
      <c r="F5" s="5" t="inlineStr">
        <is>
          <t xml:space="preserve">Client Nou</t>
        </is>
      </c>
      <c r="G5" s="5" t="inlineStr">
        <is>
          <t xml:space="preserve">0773000003</t>
        </is>
      </c>
      <c r="H5" s="5" t="inlineStr">
        <is>
          <t xml:space="preserve">client3@example.com</t>
        </is>
      </c>
      <c r="I5" s="5" t="inlineStr">
        <is>
          <t xml:space="preserve">Sector 1</t>
        </is>
      </c>
      <c r="J5" s="5" t="inlineStr">
        <is>
          <t xml:space="preserve">Deep Tissue</t>
        </is>
      </c>
      <c r="K5" s="27">
        <v>60</v>
      </c>
      <c r="L5" s="27">
        <v>15</v>
      </c>
      <c r="M5" s="13" t="inlineStr">
        <is>
          <t xml:space="preserve">În așteptare</t>
        </is>
      </c>
      <c r="N5" s="11">
        <v>250</v>
      </c>
      <c r="O5" s="13" t="inlineStr">
        <is>
          <t xml:space="preserve">Neîncasat</t>
        </is>
      </c>
      <c r="P5" s="26" t="inlineStr">
        <is>
          <t/>
        </is>
      </c>
      <c r="Q5" s="9">
        <v>46280.388888889</v>
      </c>
      <c r="R5" s="5" t="inlineStr">
        <is>
          <t xml:space="preserve">33333333333333333333333333333333</t>
        </is>
      </c>
    </row>
    <row r="6" ht="31" customHeight="1">
      <c r="A6" s="6" t="inlineStr">
        <is>
          <t xml:space="preserve">#22222222</t>
        </is>
      </c>
      <c r="B6" s="17" t="inlineStr">
        <is>
          <t xml:space="preserve">Manual</t>
        </is>
      </c>
      <c r="C6" s="10">
        <v>46273.270833333</v>
      </c>
      <c r="D6" s="8">
        <v>46274.875</v>
      </c>
      <c r="E6" s="6" t="inlineStr">
        <is>
          <t xml:space="preserve">18:30</t>
        </is>
      </c>
      <c r="F6" s="6" t="inlineStr">
        <is>
          <t xml:space="preserve">Client Manual</t>
        </is>
      </c>
      <c r="G6" s="6" t="inlineStr">
        <is>
          <t xml:space="preserve">0773000002</t>
        </is>
      </c>
      <c r="H6" s="6" t="inlineStr">
        <is>
          <t/>
        </is>
      </c>
      <c r="I6" s="6" t="inlineStr">
        <is>
          <t xml:space="preserve">Pipera</t>
        </is>
      </c>
      <c r="J6" s="6" t="inlineStr">
        <is>
          <t xml:space="preserve">Masaj de relaxare</t>
        </is>
      </c>
      <c r="K6" s="27">
        <v>60</v>
      </c>
      <c r="L6" s="27">
        <v>15</v>
      </c>
      <c r="M6" s="14" t="inlineStr">
        <is>
          <t xml:space="preserve">Confirmată</t>
        </is>
      </c>
      <c r="N6" s="12">
        <v>200</v>
      </c>
      <c r="O6" s="13" t="inlineStr">
        <is>
          <t xml:space="preserve">Neîncasat</t>
        </is>
      </c>
      <c r="P6" s="26" t="inlineStr">
        <is>
          <t xml:space="preserve">Programare telefonică.</t>
        </is>
      </c>
      <c r="Q6" s="10">
        <v>46273.270833333</v>
      </c>
      <c r="R6" s="6" t="inlineStr">
        <is>
          <t xml:space="preserve">22222222222222222222222222222222</t>
        </is>
      </c>
    </row>
    <row r="7" ht="31" customHeight="1">
      <c r="A7" s="5" t="inlineStr">
        <is>
          <t xml:space="preserve">#11111111</t>
        </is>
      </c>
      <c r="B7" s="18" t="inlineStr">
        <is>
          <t xml:space="preserve">Din site</t>
        </is>
      </c>
      <c r="C7" s="9">
        <v>46266.291666667</v>
      </c>
      <c r="D7" s="7">
        <v>46267.875</v>
      </c>
      <c r="E7" s="5" t="inlineStr">
        <is>
          <t xml:space="preserve">10:00</t>
        </is>
      </c>
      <c r="F7" s="5" t="inlineStr">
        <is>
          <t xml:space="preserve">Client Din Site</t>
        </is>
      </c>
      <c r="G7" s="5" t="inlineStr">
        <is>
          <t xml:space="preserve">0773000001</t>
        </is>
      </c>
      <c r="H7" s="5" t="inlineStr">
        <is>
          <t xml:space="preserve">client1@example.com</t>
        </is>
      </c>
      <c r="I7" s="5" t="inlineStr">
        <is>
          <t xml:space="preserve">Sector 2</t>
        </is>
      </c>
      <c r="J7" s="5" t="inlineStr">
        <is>
          <t xml:space="preserve">Masaj terapeutic</t>
        </is>
      </c>
      <c r="K7" s="27">
        <v>60</v>
      </c>
      <c r="L7" s="27">
        <v>15</v>
      </c>
      <c r="M7" s="15" t="inlineStr">
        <is>
          <t xml:space="preserve">Finalizată</t>
        </is>
      </c>
      <c r="N7" s="11">
        <v>200</v>
      </c>
      <c r="O7" s="14" t="inlineStr">
        <is>
          <t xml:space="preserve">Încasat</t>
        </is>
      </c>
      <c r="P7" s="26" t="inlineStr">
        <is>
          <t xml:space="preserve">Preferă presiune medie.</t>
        </is>
      </c>
      <c r="Q7" s="9">
        <v>46268.34375</v>
      </c>
      <c r="R7" s="5" t="inlineStr">
        <is>
          <t xml:space="preserve">11111111111111111111111111111111</t>
        </is>
      </c>
    </row>
  </sheetData>
  <mergeCells count="2">
    <mergeCell ref="A2:R2"/>
    <mergeCell ref="A3:R3"/>
  </mergeCells>
  <autoFilter ref="A4:R7"/>
  <pageMargins left="0.35" right="0.35" top="0.55" bottom="0.55" header="0.2" footer="0.2"/>
  <pageSetup orientation="landscape" fitToWidth="1" fitToHeight="0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Alin Bughius CRM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Rezumat</vt:lpstr>
      <vt:lpstr>Analize</vt:lpstr>
      <vt:lpstr>Programari</vt:lpstr>
    </vt:vector>
  </TitlesOfParts>
  <Company>Alin Bughius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programări Alin Bughius</dc:title>
  <dc:creator>Alin Bughius CRM</dc:creator>
  <cp:lastModifiedBy>Alin Bughius CRM</cp:lastModifiedBy>
  <dcterms:created xsi:type="dcterms:W3CDTF">2026-09-21T16:18:48+00:00</dcterms:created>
  <dcterms:modified xsi:type="dcterms:W3CDTF">2026-09-21T16:18:48+00:00</dcterms:modified>
</cp:coreProperties>
</file>